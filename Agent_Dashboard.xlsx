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an\Desktop\"/>
    </mc:Choice>
  </mc:AlternateContent>
  <xr:revisionPtr revIDLastSave="0" documentId="13_ncr:1_{BE64EE13-C7EC-4AAA-BF8C-8C78567188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R14" i="2"/>
  <c r="G16" i="1"/>
  <c r="G14" i="1"/>
  <c r="G13" i="1"/>
  <c r="G12" i="1"/>
  <c r="G11" i="1"/>
  <c r="G9" i="1"/>
  <c r="G8" i="1"/>
  <c r="G7" i="1"/>
  <c r="G6" i="1"/>
  <c r="G5" i="1"/>
  <c r="G4" i="1"/>
  <c r="G3" i="1"/>
  <c r="G2" i="1"/>
  <c r="F16" i="1"/>
  <c r="F14" i="1"/>
  <c r="F13" i="1"/>
  <c r="F12" i="1"/>
  <c r="F11" i="1"/>
  <c r="F9" i="1"/>
  <c r="F8" i="1"/>
  <c r="F7" i="1"/>
  <c r="F6" i="1"/>
  <c r="F5" i="1"/>
  <c r="F4" i="1"/>
  <c r="F3" i="1"/>
  <c r="F2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5" i="1"/>
  <c r="D15" i="1" s="1"/>
  <c r="C14" i="1"/>
  <c r="C13" i="1"/>
  <c r="C12" i="1"/>
  <c r="D12" i="1" s="1"/>
  <c r="C11" i="1"/>
  <c r="C9" i="1"/>
  <c r="C8" i="1"/>
  <c r="C7" i="1"/>
  <c r="C6" i="1"/>
  <c r="C5" i="1"/>
  <c r="C4" i="1"/>
  <c r="C3" i="1"/>
  <c r="C2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E55" i="2"/>
  <c r="B51" i="2"/>
  <c r="C51" i="2" s="1"/>
  <c r="H50" i="2"/>
  <c r="G43" i="2"/>
  <c r="G44" i="2" s="1"/>
  <c r="G42" i="2"/>
  <c r="I38" i="2"/>
  <c r="D38" i="2"/>
  <c r="C38" i="2"/>
  <c r="G35" i="2"/>
  <c r="G37" i="2" s="1"/>
  <c r="P34" i="2"/>
  <c r="O34" i="2"/>
  <c r="L34" i="2"/>
  <c r="K34" i="2"/>
  <c r="J34" i="2"/>
  <c r="I34" i="2"/>
  <c r="H34" i="2"/>
  <c r="G34" i="2"/>
  <c r="F34" i="2"/>
  <c r="E34" i="2"/>
  <c r="D34" i="2"/>
  <c r="C34" i="2"/>
  <c r="B34" i="2"/>
  <c r="Q32" i="2"/>
  <c r="R32" i="2" s="1"/>
  <c r="R31" i="2"/>
  <c r="Q31" i="2"/>
  <c r="P30" i="2"/>
  <c r="O30" i="2"/>
  <c r="N30" i="2"/>
  <c r="N34" i="2" s="1"/>
  <c r="M30" i="2"/>
  <c r="M34" i="2" s="1"/>
  <c r="L30" i="2"/>
  <c r="K30" i="2"/>
  <c r="J30" i="2"/>
  <c r="I30" i="2"/>
  <c r="H30" i="2"/>
  <c r="G30" i="2"/>
  <c r="F30" i="2"/>
  <c r="E30" i="2"/>
  <c r="D30" i="2"/>
  <c r="C30" i="2"/>
  <c r="C35" i="2" s="1"/>
  <c r="C37" i="2" s="1"/>
  <c r="B30" i="2"/>
  <c r="R28" i="2"/>
  <c r="Q28" i="2"/>
  <c r="Q27" i="2"/>
  <c r="R27" i="2" s="1"/>
  <c r="Q26" i="2"/>
  <c r="R26" i="2" s="1"/>
  <c r="R25" i="2"/>
  <c r="Q25" i="2"/>
  <c r="R24" i="2"/>
  <c r="Q24" i="2"/>
  <c r="P23" i="2"/>
  <c r="O23" i="2"/>
  <c r="N23" i="2"/>
  <c r="M23" i="2"/>
  <c r="L23" i="2"/>
  <c r="L35" i="2" s="1"/>
  <c r="L37" i="2" s="1"/>
  <c r="K23" i="2"/>
  <c r="J23" i="2"/>
  <c r="I23" i="2"/>
  <c r="H23" i="2"/>
  <c r="G23" i="2"/>
  <c r="F23" i="2"/>
  <c r="E23" i="2"/>
  <c r="D23" i="2"/>
  <c r="C23" i="2"/>
  <c r="B23" i="2"/>
  <c r="B49" i="2" s="1"/>
  <c r="C49" i="2" s="1"/>
  <c r="R21" i="2"/>
  <c r="Q21" i="2"/>
  <c r="Q20" i="2"/>
  <c r="R20" i="2" s="1"/>
  <c r="Q19" i="2"/>
  <c r="R19" i="2" s="1"/>
  <c r="Q18" i="2"/>
  <c r="R18" i="2" s="1"/>
  <c r="Q17" i="2"/>
  <c r="R17" i="2" s="1"/>
  <c r="P16" i="2"/>
  <c r="O16" i="2"/>
  <c r="N16" i="2"/>
  <c r="N38" i="2" s="1"/>
  <c r="M16" i="2"/>
  <c r="L16" i="2"/>
  <c r="K16" i="2"/>
  <c r="K35" i="2" s="1"/>
  <c r="K37" i="2" s="1"/>
  <c r="J16" i="2"/>
  <c r="C10" i="1" s="1"/>
  <c r="D10" i="1" s="1"/>
  <c r="I16" i="2"/>
  <c r="H16" i="2"/>
  <c r="G16" i="2"/>
  <c r="G38" i="2" s="1"/>
  <c r="F16" i="2"/>
  <c r="F35" i="2" s="1"/>
  <c r="E16" i="2"/>
  <c r="D16" i="2"/>
  <c r="C16" i="2"/>
  <c r="R15" i="2"/>
  <c r="Q14" i="2"/>
  <c r="Q13" i="2"/>
  <c r="R13" i="2" s="1"/>
  <c r="B13" i="2"/>
  <c r="B16" i="2" s="1"/>
  <c r="Q12" i="2"/>
  <c r="R12" i="2" s="1"/>
  <c r="R11" i="2"/>
  <c r="Q11" i="2"/>
  <c r="Q10" i="2"/>
  <c r="R10" i="2" s="1"/>
  <c r="P9" i="2"/>
  <c r="P35" i="2" s="1"/>
  <c r="P37" i="2" s="1"/>
  <c r="O9" i="2"/>
  <c r="N9" i="2"/>
  <c r="M9" i="2"/>
  <c r="L9" i="2"/>
  <c r="K9" i="2"/>
  <c r="J9" i="2"/>
  <c r="J35" i="2" s="1"/>
  <c r="J37" i="2" s="1"/>
  <c r="I9" i="2"/>
  <c r="I35" i="2" s="1"/>
  <c r="I37" i="2" s="1"/>
  <c r="H9" i="2"/>
  <c r="H35" i="2" s="1"/>
  <c r="H37" i="2" s="1"/>
  <c r="G9" i="2"/>
  <c r="F9" i="2"/>
  <c r="E9" i="2"/>
  <c r="B47" i="2" s="1"/>
  <c r="C47" i="2" s="1"/>
  <c r="D9" i="2"/>
  <c r="D35" i="2" s="1"/>
  <c r="D37" i="2" s="1"/>
  <c r="C9" i="2"/>
  <c r="B9" i="2"/>
  <c r="Q8" i="2"/>
  <c r="R8" i="2" s="1"/>
  <c r="R7" i="2"/>
  <c r="Q7" i="2"/>
  <c r="R6" i="2"/>
  <c r="Q6" i="2"/>
  <c r="Q5" i="2"/>
  <c r="R5" i="2" s="1"/>
  <c r="Q4" i="2"/>
  <c r="R4" i="2" s="1"/>
  <c r="D3" i="1"/>
  <c r="D4" i="1"/>
  <c r="D5" i="1"/>
  <c r="D6" i="1"/>
  <c r="D7" i="1"/>
  <c r="D8" i="1"/>
  <c r="D9" i="1"/>
  <c r="D11" i="1"/>
  <c r="D13" i="1"/>
  <c r="D14" i="1"/>
  <c r="D16" i="1"/>
  <c r="D2" i="1"/>
  <c r="F10" i="1" l="1"/>
  <c r="G10" i="1" s="1"/>
  <c r="O35" i="2"/>
  <c r="B38" i="2"/>
  <c r="R48" i="2"/>
  <c r="F37" i="2"/>
  <c r="B50" i="2"/>
  <c r="C50" i="2" s="1"/>
  <c r="M35" i="2"/>
  <c r="M37" i="2" s="1"/>
  <c r="N35" i="2"/>
  <c r="N37" i="2" s="1"/>
  <c r="B48" i="2"/>
  <c r="C48" i="2" s="1"/>
  <c r="B35" i="2"/>
  <c r="E38" i="2"/>
  <c r="F38" i="2"/>
  <c r="E35" i="2"/>
  <c r="E37" i="2" s="1"/>
  <c r="H38" i="2"/>
  <c r="J38" i="2"/>
  <c r="K38" i="2"/>
  <c r="L38" i="2"/>
  <c r="M38" i="2"/>
  <c r="O38" i="2"/>
  <c r="P38" i="2"/>
  <c r="O37" i="2" l="1"/>
  <c r="F15" i="1"/>
  <c r="G15" i="1" s="1"/>
  <c r="Q48" i="2"/>
  <c r="E48" i="2"/>
  <c r="B37" i="2"/>
  <c r="F43" i="2"/>
  <c r="H43" i="2" s="1"/>
  <c r="Q15" i="2"/>
  <c r="F42" i="2"/>
  <c r="H42" i="2" s="1"/>
  <c r="H44" i="2" s="1"/>
  <c r="R50" i="2"/>
  <c r="R49" i="2"/>
  <c r="F54" i="2" l="1"/>
  <c r="F53" i="2"/>
  <c r="G48" i="2"/>
  <c r="F52" i="2"/>
  <c r="F48" i="2"/>
  <c r="F49" i="2" s="1"/>
  <c r="F55" i="2"/>
  <c r="Q50" i="2"/>
  <c r="Q49" i="2"/>
</calcChain>
</file>

<file path=xl/sharedStrings.xml><?xml version="1.0" encoding="utf-8"?>
<sst xmlns="http://schemas.openxmlformats.org/spreadsheetml/2006/main" count="89" uniqueCount="81">
  <si>
    <t>Agent Name</t>
  </si>
  <si>
    <t>Weekly Target</t>
  </si>
  <si>
    <t>Weekly Done</t>
  </si>
  <si>
    <t>Monitor Target</t>
  </si>
  <si>
    <t>Commission Target</t>
  </si>
  <si>
    <t xml:space="preserve">Zico Janse van Rensburg </t>
  </si>
  <si>
    <t>Diaan Engelbrecht</t>
  </si>
  <si>
    <t>Tasneem Mohamed</t>
  </si>
  <si>
    <t>Weekly Need</t>
  </si>
  <si>
    <t>Monitor Need</t>
  </si>
  <si>
    <t>Commission Need</t>
  </si>
  <si>
    <t>GEOGRE AGENTS</t>
  </si>
  <si>
    <t>TOTAL FOR THE DAY</t>
  </si>
  <si>
    <t>NEED TO BREAK RECORD DAY</t>
  </si>
  <si>
    <t>Sandy                       Mare</t>
  </si>
  <si>
    <t>Abigail                Wehmeyer</t>
  </si>
  <si>
    <t>Marizaan               Read</t>
  </si>
  <si>
    <t>Ian                    Stewart</t>
  </si>
  <si>
    <t xml:space="preserve">Ethan           Campher </t>
  </si>
  <si>
    <t>Jan                               Britz</t>
  </si>
  <si>
    <t>Juandre                                      Jonck</t>
  </si>
  <si>
    <t>Chane   Wolmarans</t>
  </si>
  <si>
    <t>Dian                   Smit</t>
  </si>
  <si>
    <t>Ryan                    Grobler</t>
  </si>
  <si>
    <t>Elmarie              Kruger</t>
  </si>
  <si>
    <t>Matthew          Knight</t>
  </si>
  <si>
    <t xml:space="preserve">WEEK 1 </t>
  </si>
  <si>
    <t xml:space="preserve">Week Target </t>
  </si>
  <si>
    <t>WEEK 2</t>
  </si>
  <si>
    <t>WEEK 3</t>
  </si>
  <si>
    <t>WEEK 4</t>
  </si>
  <si>
    <t>WEEK 5</t>
  </si>
  <si>
    <t>TOTAL</t>
  </si>
  <si>
    <t>TARGET</t>
  </si>
  <si>
    <t>NEED</t>
  </si>
  <si>
    <t>COMMISSION</t>
  </si>
  <si>
    <t>NEED 1 SALE</t>
  </si>
  <si>
    <t>NEED 2 SALES</t>
  </si>
  <si>
    <t>NEED 1SALES</t>
  </si>
  <si>
    <t>RECORDS</t>
  </si>
  <si>
    <t>Spanne</t>
  </si>
  <si>
    <t>Currently On</t>
  </si>
  <si>
    <t>Required</t>
  </si>
  <si>
    <t>Still Need</t>
  </si>
  <si>
    <t>DAY</t>
  </si>
  <si>
    <t>ROOKIES</t>
  </si>
  <si>
    <t>WEEK</t>
  </si>
  <si>
    <t>OGS</t>
  </si>
  <si>
    <t>MONTH</t>
  </si>
  <si>
    <t>TARGET FOR THE MONTH</t>
  </si>
  <si>
    <t>TOTAL FOR THE WEEK</t>
  </si>
  <si>
    <t>NEED TO BREAK RECORD WEEK</t>
  </si>
  <si>
    <t>OGs</t>
  </si>
  <si>
    <t>ROOKIEs</t>
  </si>
  <si>
    <t>TOTAL FOR THE MONTH</t>
  </si>
  <si>
    <t>NEED TO MAKE TARGET</t>
  </si>
  <si>
    <t>NEED TO BREAK RECORD MONTH</t>
  </si>
  <si>
    <t>PER DAY</t>
  </si>
  <si>
    <t>DAYS LEFT</t>
  </si>
  <si>
    <t>STILL NEED</t>
  </si>
  <si>
    <t>MINUMUM TARGET</t>
  </si>
  <si>
    <t>OVER TAGER</t>
  </si>
  <si>
    <t>MAIN GOAL</t>
  </si>
  <si>
    <t>TO BREAK RECORD MONTH</t>
  </si>
  <si>
    <t>Monitor On</t>
  </si>
  <si>
    <t>Commission On</t>
  </si>
  <si>
    <t>Marizaan R</t>
  </si>
  <si>
    <t>Sandy M</t>
  </si>
  <si>
    <t>Abigail W</t>
  </si>
  <si>
    <t>Ian S</t>
  </si>
  <si>
    <t>Ethan C</t>
  </si>
  <si>
    <t>Jan B</t>
  </si>
  <si>
    <t>Zico J</t>
  </si>
  <si>
    <t>Juandre J</t>
  </si>
  <si>
    <t>Chane W</t>
  </si>
  <si>
    <t>Dian S</t>
  </si>
  <si>
    <t>Diaan E</t>
  </si>
  <si>
    <t>Ryan G</t>
  </si>
  <si>
    <t>Elmarie K</t>
  </si>
  <si>
    <t>Tasneem M</t>
  </si>
  <si>
    <t>Matthew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</si>
</sst>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6" formatCode="_-&quot;R&quot;* #,##0_-;\-&quot;R&quot;* #,##0_-;_-&quot;R&quot;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4">
    <xf numFmtId="0" fontId="0" fillId="0" borderId="0" xfId="0"/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5" fillId="2" borderId="0" xfId="0" applyNumberFormat="1" applyFont="1" applyFill="1" applyAlignment="1">
      <alignment horizontal="center" vertical="center"/>
    </xf>
    <xf numFmtId="166" fontId="3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10" fillId="0" borderId="2" xfId="0" applyNumberFormat="1" applyFont="1" applyBorder="1"/>
    <xf numFmtId="166" fontId="3" fillId="4" borderId="3" xfId="0" applyNumberFormat="1" applyFont="1" applyFill="1" applyBorder="1"/>
    <xf numFmtId="166" fontId="10" fillId="0" borderId="4" xfId="0" applyNumberFormat="1" applyFont="1" applyBorder="1"/>
    <xf numFmtId="166" fontId="3" fillId="4" borderId="5" xfId="0" applyNumberFormat="1" applyFont="1" applyFill="1" applyBorder="1"/>
    <xf numFmtId="0" fontId="2" fillId="5" borderId="6" xfId="0" applyFont="1" applyFill="1" applyBorder="1" applyAlignment="1">
      <alignment horizontal="center" vertical="center"/>
    </xf>
    <xf numFmtId="166" fontId="11" fillId="6" borderId="7" xfId="0" applyNumberFormat="1" applyFont="1" applyFill="1" applyBorder="1"/>
    <xf numFmtId="0" fontId="12" fillId="2" borderId="8" xfId="0" applyFont="1" applyFill="1" applyBorder="1"/>
    <xf numFmtId="0" fontId="12" fillId="2" borderId="9" xfId="0" applyFont="1" applyFill="1" applyBorder="1"/>
    <xf numFmtId="166" fontId="10" fillId="0" borderId="10" xfId="0" applyNumberFormat="1" applyFont="1" applyBorder="1"/>
    <xf numFmtId="166" fontId="3" fillId="4" borderId="11" xfId="0" applyNumberFormat="1" applyFont="1" applyFill="1" applyBorder="1"/>
    <xf numFmtId="166" fontId="3" fillId="0" borderId="4" xfId="0" applyNumberFormat="1" applyFont="1" applyBorder="1"/>
    <xf numFmtId="166" fontId="9" fillId="7" borderId="2" xfId="0" applyNumberFormat="1" applyFont="1" applyFill="1" applyBorder="1"/>
    <xf numFmtId="166" fontId="10" fillId="7" borderId="12" xfId="0" applyNumberFormat="1" applyFont="1" applyFill="1" applyBorder="1"/>
    <xf numFmtId="166" fontId="11" fillId="6" borderId="13" xfId="0" applyNumberFormat="1" applyFont="1" applyFill="1" applyBorder="1"/>
    <xf numFmtId="166" fontId="3" fillId="0" borderId="2" xfId="0" applyNumberFormat="1" applyFont="1" applyBorder="1"/>
    <xf numFmtId="166" fontId="3" fillId="4" borderId="10" xfId="0" applyNumberFormat="1" applyFont="1" applyFill="1" applyBorder="1"/>
    <xf numFmtId="166" fontId="3" fillId="4" borderId="2" xfId="0" applyNumberFormat="1" applyFont="1" applyFill="1" applyBorder="1"/>
    <xf numFmtId="166" fontId="3" fillId="0" borderId="14" xfId="0" applyNumberFormat="1" applyFont="1" applyBorder="1"/>
    <xf numFmtId="166" fontId="10" fillId="0" borderId="0" xfId="0" applyNumberFormat="1" applyFont="1"/>
    <xf numFmtId="166" fontId="3" fillId="4" borderId="0" xfId="0" applyNumberFormat="1" applyFont="1" applyFill="1"/>
    <xf numFmtId="166" fontId="3" fillId="4" borderId="4" xfId="0" applyNumberFormat="1" applyFont="1" applyFill="1" applyBorder="1"/>
    <xf numFmtId="166" fontId="11" fillId="6" borderId="15" xfId="0" applyNumberFormat="1" applyFont="1" applyFill="1" applyBorder="1"/>
    <xf numFmtId="0" fontId="12" fillId="2" borderId="16" xfId="0" applyFont="1" applyFill="1" applyBorder="1"/>
    <xf numFmtId="0" fontId="12" fillId="2" borderId="17" xfId="0" applyFont="1" applyFill="1" applyBorder="1"/>
    <xf numFmtId="0" fontId="12" fillId="2" borderId="18" xfId="0" applyFont="1" applyFill="1" applyBorder="1"/>
    <xf numFmtId="0" fontId="12" fillId="2" borderId="19" xfId="0" applyFont="1" applyFill="1" applyBorder="1"/>
    <xf numFmtId="0" fontId="13" fillId="8" borderId="2" xfId="0" applyFont="1" applyFill="1" applyBorder="1" applyAlignment="1">
      <alignment horizontal="center" vertical="center"/>
    </xf>
    <xf numFmtId="166" fontId="6" fillId="9" borderId="2" xfId="0" applyNumberFormat="1" applyFont="1" applyFill="1" applyBorder="1"/>
    <xf numFmtId="0" fontId="14" fillId="2" borderId="0" xfId="0" applyFont="1" applyFill="1"/>
    <xf numFmtId="0" fontId="15" fillId="0" borderId="4" xfId="0" applyFont="1" applyBorder="1" applyAlignment="1">
      <alignment horizontal="center" vertical="center" wrapText="1"/>
    </xf>
    <xf numFmtId="166" fontId="15" fillId="0" borderId="4" xfId="0" applyNumberFormat="1" applyFont="1" applyBorder="1"/>
    <xf numFmtId="0" fontId="15" fillId="2" borderId="0" xfId="0" applyFont="1" applyFill="1"/>
    <xf numFmtId="0" fontId="15" fillId="0" borderId="20" xfId="0" applyFont="1" applyBorder="1" applyAlignment="1">
      <alignment horizontal="center" vertical="center" wrapText="1"/>
    </xf>
    <xf numFmtId="166" fontId="16" fillId="4" borderId="7" xfId="0" applyNumberFormat="1" applyFont="1" applyFill="1" applyBorder="1"/>
    <xf numFmtId="166" fontId="16" fillId="4" borderId="21" xfId="0" applyNumberFormat="1" applyFont="1" applyFill="1" applyBorder="1"/>
    <xf numFmtId="166" fontId="17" fillId="4" borderId="21" xfId="0" applyNumberFormat="1" applyFont="1" applyFill="1" applyBorder="1"/>
    <xf numFmtId="0" fontId="18" fillId="2" borderId="0" xfId="0" applyFont="1" applyFill="1"/>
    <xf numFmtId="0" fontId="15" fillId="0" borderId="0" xfId="0" applyFont="1" applyAlignment="1">
      <alignment horizontal="center" vertical="center" wrapText="1"/>
    </xf>
    <xf numFmtId="166" fontId="19" fillId="7" borderId="14" xfId="0" applyNumberFormat="1" applyFont="1" applyFill="1" applyBorder="1"/>
    <xf numFmtId="0" fontId="2" fillId="2" borderId="0" xfId="0" applyFont="1" applyFill="1" applyAlignment="1">
      <alignment horizontal="center" vertical="center"/>
    </xf>
    <xf numFmtId="166" fontId="4" fillId="2" borderId="14" xfId="0" applyNumberFormat="1" applyFont="1" applyFill="1" applyBorder="1"/>
    <xf numFmtId="166" fontId="4" fillId="2" borderId="22" xfId="0" applyNumberFormat="1" applyFont="1" applyFill="1" applyBorder="1"/>
    <xf numFmtId="166" fontId="4" fillId="2" borderId="2" xfId="0" applyNumberFormat="1" applyFont="1" applyFill="1" applyBorder="1"/>
    <xf numFmtId="166" fontId="4" fillId="2" borderId="23" xfId="0" applyNumberFormat="1" applyFont="1" applyFill="1" applyBorder="1"/>
    <xf numFmtId="166" fontId="4" fillId="2" borderId="0" xfId="0" applyNumberFormat="1" applyFont="1" applyFill="1"/>
    <xf numFmtId="0" fontId="0" fillId="2" borderId="0" xfId="0" applyFill="1"/>
    <xf numFmtId="16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66" fontId="0" fillId="0" borderId="0" xfId="0" applyNumberFormat="1"/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6" fontId="2" fillId="2" borderId="26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166" fontId="0" fillId="0" borderId="27" xfId="0" applyNumberFormat="1" applyBorder="1"/>
    <xf numFmtId="166" fontId="0" fillId="0" borderId="28" xfId="0" applyNumberFormat="1" applyBorder="1"/>
    <xf numFmtId="166" fontId="0" fillId="0" borderId="28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66" fontId="20" fillId="4" borderId="30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9" fillId="6" borderId="4" xfId="0" applyFont="1" applyFill="1" applyBorder="1" applyAlignment="1">
      <alignment horizontal="center" vertical="center"/>
    </xf>
    <xf numFmtId="166" fontId="0" fillId="0" borderId="31" xfId="0" applyNumberFormat="1" applyBorder="1"/>
    <xf numFmtId="166" fontId="0" fillId="0" borderId="32" xfId="0" applyNumberFormat="1" applyBorder="1"/>
    <xf numFmtId="166" fontId="0" fillId="0" borderId="32" xfId="0" applyNumberForma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166" fontId="20" fillId="4" borderId="34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0" fillId="0" borderId="31" xfId="0" applyNumberFormat="1" applyBorder="1" applyAlignment="1">
      <alignment vertical="center"/>
    </xf>
    <xf numFmtId="166" fontId="0" fillId="0" borderId="35" xfId="0" applyNumberFormat="1" applyBorder="1"/>
    <xf numFmtId="166" fontId="20" fillId="4" borderId="19" xfId="0" applyNumberFormat="1" applyFont="1" applyFill="1" applyBorder="1"/>
    <xf numFmtId="0" fontId="2" fillId="2" borderId="2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6" fontId="4" fillId="0" borderId="36" xfId="0" applyNumberFormat="1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166" fontId="0" fillId="0" borderId="10" xfId="0" applyNumberFormat="1" applyBorder="1"/>
    <xf numFmtId="0" fontId="2" fillId="2" borderId="2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6" fontId="0" fillId="0" borderId="2" xfId="0" applyNumberFormat="1" applyBorder="1"/>
    <xf numFmtId="0" fontId="2" fillId="5" borderId="2" xfId="0" applyFont="1" applyFill="1" applyBorder="1" applyAlignment="1">
      <alignment horizontal="center" vertical="center"/>
    </xf>
    <xf numFmtId="166" fontId="4" fillId="0" borderId="28" xfId="0" applyNumberFormat="1" applyFont="1" applyBorder="1"/>
    <xf numFmtId="166" fontId="21" fillId="0" borderId="29" xfId="0" applyNumberFormat="1" applyFont="1" applyBorder="1"/>
    <xf numFmtId="166" fontId="20" fillId="4" borderId="2" xfId="0" applyNumberFormat="1" applyFont="1" applyFill="1" applyBorder="1"/>
    <xf numFmtId="0" fontId="5" fillId="2" borderId="37" xfId="0" applyFont="1" applyFill="1" applyBorder="1" applyAlignment="1">
      <alignment horizontal="right"/>
    </xf>
    <xf numFmtId="166" fontId="4" fillId="0" borderId="35" xfId="0" applyNumberFormat="1" applyFont="1" applyBorder="1"/>
    <xf numFmtId="9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166" fontId="20" fillId="0" borderId="2" xfId="0" applyNumberFormat="1" applyFont="1" applyBorder="1"/>
    <xf numFmtId="0" fontId="0" fillId="2" borderId="0" xfId="0" applyFill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4" xfId="0" applyBorder="1"/>
    <xf numFmtId="166" fontId="0" fillId="0" borderId="12" xfId="0" applyNumberFormat="1" applyBorder="1"/>
    <xf numFmtId="166" fontId="20" fillId="0" borderId="4" xfId="0" applyNumberFormat="1" applyFont="1" applyBorder="1"/>
    <xf numFmtId="166" fontId="0" fillId="0" borderId="2" xfId="0" applyNumberForma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19" sqref="E19"/>
    </sheetView>
  </sheetViews>
  <sheetFormatPr defaultRowHeight="14.4" x14ac:dyDescent="0.3"/>
  <cols>
    <col min="1" max="1" width="20.88671875" bestFit="1" customWidth="1"/>
    <col min="2" max="2" width="12.33203125" bestFit="1" customWidth="1"/>
    <col min="3" max="3" width="11.33203125" bestFit="1" customWidth="1"/>
    <col min="4" max="4" width="11.33203125" customWidth="1"/>
    <col min="5" max="5" width="10.44140625" bestFit="1" customWidth="1"/>
    <col min="6" max="6" width="11.33203125" bestFit="1" customWidth="1"/>
    <col min="7" max="7" width="12.44140625" bestFit="1" customWidth="1"/>
    <col min="8" max="8" width="17.21875" bestFit="1" customWidth="1"/>
    <col min="9" max="9" width="13.77734375" bestFit="1" customWidth="1"/>
    <col min="10" max="10" width="15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64</v>
      </c>
      <c r="G1" t="s">
        <v>9</v>
      </c>
      <c r="H1" t="s">
        <v>4</v>
      </c>
      <c r="I1" t="s">
        <v>65</v>
      </c>
      <c r="J1" t="s">
        <v>10</v>
      </c>
    </row>
    <row r="2" spans="1:10" x14ac:dyDescent="0.3">
      <c r="A2" t="s">
        <v>67</v>
      </c>
      <c r="B2" s="1">
        <f>Sheet1!B15</f>
        <v>16170</v>
      </c>
      <c r="C2" s="1">
        <f>Sheet1!B16</f>
        <v>9390</v>
      </c>
      <c r="D2" s="1">
        <f>B2-C2</f>
        <v>6780</v>
      </c>
      <c r="E2" s="1">
        <f>Sheet1!B36</f>
        <v>60000</v>
      </c>
      <c r="F2" s="1">
        <f>Sheet1!B35</f>
        <v>15620</v>
      </c>
      <c r="G2" s="1">
        <f>E2-F2</f>
        <v>44380</v>
      </c>
      <c r="H2" s="1"/>
      <c r="I2" s="1"/>
      <c r="J2" s="1"/>
    </row>
    <row r="3" spans="1:10" x14ac:dyDescent="0.3">
      <c r="A3" t="s">
        <v>68</v>
      </c>
      <c r="B3" s="1">
        <f>Sheet1!C15</f>
        <v>12000</v>
      </c>
      <c r="C3" s="1">
        <f>Sheet1!C16</f>
        <v>11310</v>
      </c>
      <c r="D3" s="1">
        <f t="shared" ref="D3:D16" si="0">B3-C3</f>
        <v>690</v>
      </c>
      <c r="E3" s="1">
        <f>Sheet1!C36</f>
        <v>60000</v>
      </c>
      <c r="F3" s="1">
        <f>Sheet1!C35</f>
        <v>15770</v>
      </c>
      <c r="G3" s="1">
        <f>E3-F3</f>
        <v>44230</v>
      </c>
      <c r="H3" s="1"/>
      <c r="I3" s="1"/>
      <c r="J3" s="1"/>
    </row>
    <row r="4" spans="1:10" x14ac:dyDescent="0.3">
      <c r="A4" t="s">
        <v>66</v>
      </c>
      <c r="B4" s="1">
        <f>Sheet1!D15</f>
        <v>15000</v>
      </c>
      <c r="C4" s="1">
        <f>Sheet1!D16</f>
        <v>9065</v>
      </c>
      <c r="D4" s="1">
        <f t="shared" si="0"/>
        <v>5935</v>
      </c>
      <c r="E4" s="1">
        <f>Sheet1!D36</f>
        <v>45000</v>
      </c>
      <c r="F4" s="1">
        <f>Sheet1!D35</f>
        <v>11075</v>
      </c>
      <c r="G4" s="1">
        <f>E4-F4</f>
        <v>33925</v>
      </c>
      <c r="H4" s="1"/>
      <c r="I4" s="1"/>
      <c r="J4" s="1"/>
    </row>
    <row r="5" spans="1:10" x14ac:dyDescent="0.3">
      <c r="A5" t="s">
        <v>69</v>
      </c>
      <c r="B5" s="1">
        <f>Sheet1!E15</f>
        <v>12000</v>
      </c>
      <c r="C5" s="1">
        <f>Sheet1!E16</f>
        <v>6535</v>
      </c>
      <c r="D5" s="1">
        <f t="shared" si="0"/>
        <v>5465</v>
      </c>
      <c r="E5" s="1">
        <f>Sheet1!E36</f>
        <v>45000</v>
      </c>
      <c r="F5" s="1">
        <f>Sheet1!E35</f>
        <v>13275</v>
      </c>
      <c r="G5" s="1">
        <f>E5-F5</f>
        <v>31725</v>
      </c>
      <c r="H5" s="1"/>
      <c r="I5" s="1"/>
      <c r="J5" s="1"/>
    </row>
    <row r="6" spans="1:10" x14ac:dyDescent="0.3">
      <c r="A6" t="s">
        <v>70</v>
      </c>
      <c r="B6" s="1">
        <f>Sheet1!F15</f>
        <v>9000</v>
      </c>
      <c r="C6" s="1">
        <f>Sheet1!F16</f>
        <v>0</v>
      </c>
      <c r="D6" s="1">
        <f t="shared" si="0"/>
        <v>9000</v>
      </c>
      <c r="E6" s="1">
        <f>Sheet1!F36</f>
        <v>20000</v>
      </c>
      <c r="F6" s="1">
        <f>Sheet1!F35</f>
        <v>1200</v>
      </c>
      <c r="G6" s="1">
        <f>E6-F6</f>
        <v>18800</v>
      </c>
      <c r="H6" s="1"/>
      <c r="I6" s="1"/>
      <c r="J6" s="1"/>
    </row>
    <row r="7" spans="1:10" x14ac:dyDescent="0.3">
      <c r="A7" t="s">
        <v>71</v>
      </c>
      <c r="B7" s="1">
        <f>Sheet1!G15</f>
        <v>10000</v>
      </c>
      <c r="C7" s="1">
        <f>Sheet1!G16</f>
        <v>2950</v>
      </c>
      <c r="D7" s="1">
        <f t="shared" si="0"/>
        <v>7050</v>
      </c>
      <c r="E7" s="1">
        <f>Sheet1!G36</f>
        <v>20000</v>
      </c>
      <c r="F7" s="1">
        <f>Sheet1!G35</f>
        <v>4150</v>
      </c>
      <c r="G7" s="1">
        <f>E7-F7</f>
        <v>15850</v>
      </c>
      <c r="H7" s="1"/>
      <c r="I7" s="1"/>
      <c r="J7" s="1"/>
    </row>
    <row r="8" spans="1:10" x14ac:dyDescent="0.3">
      <c r="A8" t="s">
        <v>72</v>
      </c>
      <c r="B8" s="1">
        <f>Sheet1!H15</f>
        <v>10000</v>
      </c>
      <c r="C8" s="1">
        <f>Sheet1!H16</f>
        <v>7160</v>
      </c>
      <c r="D8" s="1">
        <f t="shared" si="0"/>
        <v>2840</v>
      </c>
      <c r="E8" s="1">
        <f>Sheet1!H36</f>
        <v>20000</v>
      </c>
      <c r="F8" s="1">
        <f>Sheet1!H35</f>
        <v>24495</v>
      </c>
      <c r="G8" s="1">
        <f>E8-F8</f>
        <v>-4495</v>
      </c>
      <c r="H8" s="1"/>
      <c r="I8" s="1"/>
      <c r="J8" s="1"/>
    </row>
    <row r="9" spans="1:10" x14ac:dyDescent="0.3">
      <c r="A9" t="s">
        <v>73</v>
      </c>
      <c r="B9" s="1">
        <f>Sheet1!I15</f>
        <v>8000</v>
      </c>
      <c r="C9" s="1">
        <f>Sheet1!I16</f>
        <v>0</v>
      </c>
      <c r="D9" s="1">
        <f t="shared" si="0"/>
        <v>8000</v>
      </c>
      <c r="E9" s="1">
        <f>Sheet1!I36</f>
        <v>12500</v>
      </c>
      <c r="F9" s="1">
        <f>Sheet1!I35</f>
        <v>5870</v>
      </c>
      <c r="G9" s="1">
        <f>E9-F9</f>
        <v>6630</v>
      </c>
      <c r="H9" s="1"/>
      <c r="I9" s="1"/>
      <c r="J9" s="1"/>
    </row>
    <row r="10" spans="1:10" x14ac:dyDescent="0.3">
      <c r="A10" t="s">
        <v>74</v>
      </c>
      <c r="B10" s="1">
        <f>Sheet1!J15</f>
        <v>8500</v>
      </c>
      <c r="C10" s="1">
        <f>Sheet1!J16</f>
        <v>10690</v>
      </c>
      <c r="D10" s="1">
        <f t="shared" si="0"/>
        <v>-2190</v>
      </c>
      <c r="E10" s="1">
        <f>Sheet1!J36</f>
        <v>12500</v>
      </c>
      <c r="F10" s="1">
        <f>Sheet1!J35</f>
        <v>7610</v>
      </c>
      <c r="G10" s="1">
        <f>E10-F10</f>
        <v>4890</v>
      </c>
      <c r="H10" s="1"/>
      <c r="I10" s="1"/>
      <c r="J10" s="1"/>
    </row>
    <row r="11" spans="1:10" x14ac:dyDescent="0.3">
      <c r="A11" t="s">
        <v>75</v>
      </c>
      <c r="B11" s="1">
        <f>Sheet1!K15</f>
        <v>6000</v>
      </c>
      <c r="C11" s="1">
        <f>Sheet1!K16</f>
        <v>3240</v>
      </c>
      <c r="D11" s="1">
        <f t="shared" si="0"/>
        <v>2760</v>
      </c>
      <c r="E11" s="1">
        <f>Sheet1!K36</f>
        <v>12500</v>
      </c>
      <c r="F11" s="1">
        <f>Sheet1!K35</f>
        <v>6260</v>
      </c>
      <c r="G11" s="1">
        <f>E11-F11</f>
        <v>6240</v>
      </c>
      <c r="H11" s="1"/>
      <c r="I11" s="1"/>
      <c r="J11" s="1"/>
    </row>
    <row r="12" spans="1:10" x14ac:dyDescent="0.3">
      <c r="A12" t="s">
        <v>76</v>
      </c>
      <c r="B12" s="1">
        <f>Sheet1!L15</f>
        <v>7000</v>
      </c>
      <c r="C12" s="1">
        <f>Sheet1!L16</f>
        <v>2910</v>
      </c>
      <c r="D12" s="1">
        <f t="shared" si="0"/>
        <v>4090</v>
      </c>
      <c r="E12" s="1">
        <f>Sheet1!L36</f>
        <v>12500</v>
      </c>
      <c r="F12" s="1">
        <f>Sheet1!L35</f>
        <v>4110</v>
      </c>
      <c r="G12" s="1">
        <f>E12-F12</f>
        <v>8390</v>
      </c>
      <c r="H12" s="1"/>
      <c r="I12" s="1"/>
      <c r="J12" s="1"/>
    </row>
    <row r="13" spans="1:10" x14ac:dyDescent="0.3">
      <c r="A13" t="s">
        <v>77</v>
      </c>
      <c r="B13" s="1">
        <f>Sheet1!M15</f>
        <v>8000</v>
      </c>
      <c r="C13" s="1">
        <f>Sheet1!M16</f>
        <v>0</v>
      </c>
      <c r="D13" s="1">
        <f t="shared" si="0"/>
        <v>8000</v>
      </c>
      <c r="E13" s="1">
        <f>Sheet1!M36</f>
        <v>5000</v>
      </c>
      <c r="F13" s="1">
        <f>Sheet1!M35</f>
        <v>1200</v>
      </c>
      <c r="G13" s="1">
        <f>E13-F13</f>
        <v>3800</v>
      </c>
      <c r="H13" s="1"/>
      <c r="I13" s="1"/>
      <c r="J13" s="1"/>
    </row>
    <row r="14" spans="1:10" x14ac:dyDescent="0.3">
      <c r="A14" t="s">
        <v>78</v>
      </c>
      <c r="B14" s="1">
        <f>Sheet1!N15</f>
        <v>8000</v>
      </c>
      <c r="C14" s="1">
        <f>Sheet1!N16</f>
        <v>1200</v>
      </c>
      <c r="D14" s="1">
        <f t="shared" si="0"/>
        <v>6800</v>
      </c>
      <c r="E14" s="1">
        <f>Sheet1!N36</f>
        <v>5000</v>
      </c>
      <c r="F14" s="1">
        <f>Sheet1!N35</f>
        <v>5220</v>
      </c>
      <c r="G14" s="1">
        <f>E14-F14</f>
        <v>-220</v>
      </c>
      <c r="H14" s="1"/>
      <c r="I14" s="1"/>
      <c r="J14" s="1"/>
    </row>
    <row r="15" spans="1:10" x14ac:dyDescent="0.3">
      <c r="A15" t="s">
        <v>79</v>
      </c>
      <c r="B15" s="1">
        <f>Sheet1!O15</f>
        <v>2500</v>
      </c>
      <c r="C15" s="1">
        <f>Sheet1!O16</f>
        <v>390</v>
      </c>
      <c r="D15" s="1">
        <f t="shared" si="0"/>
        <v>2110</v>
      </c>
      <c r="E15" s="1">
        <f>Sheet1!O36</f>
        <v>5000</v>
      </c>
      <c r="F15" s="1">
        <f>Sheet1!O35</f>
        <v>390</v>
      </c>
      <c r="G15" s="1">
        <f>E15-F15</f>
        <v>4610</v>
      </c>
      <c r="H15" s="1"/>
      <c r="I15" s="1"/>
      <c r="J15" s="1"/>
    </row>
    <row r="16" spans="1:10" x14ac:dyDescent="0.3">
      <c r="A16" t="s">
        <v>80</v>
      </c>
      <c r="B16" s="1">
        <f>Sheet1!P15</f>
        <v>2500</v>
      </c>
      <c r="C16" s="1">
        <f>Sheet1!P16</f>
        <v>0</v>
      </c>
      <c r="D16" s="1">
        <f t="shared" si="0"/>
        <v>2500</v>
      </c>
      <c r="E16" s="1">
        <f>Sheet1!P36</f>
        <v>5000</v>
      </c>
      <c r="F16" s="1">
        <f>Sheet1!P35</f>
        <v>0</v>
      </c>
      <c r="G16" s="1">
        <f>E16-F16</f>
        <v>5000</v>
      </c>
      <c r="H16" s="1"/>
      <c r="I16" s="1"/>
      <c r="J16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3D0D-FC80-4425-B45F-24564D4D8903}">
  <dimension ref="A1:R56"/>
  <sheetViews>
    <sheetView workbookViewId="0">
      <selection activeCell="S14" sqref="S14"/>
    </sheetView>
  </sheetViews>
  <sheetFormatPr defaultRowHeight="14.4" x14ac:dyDescent="0.3"/>
  <cols>
    <col min="2" max="3" width="11.21875" bestFit="1" customWidth="1"/>
    <col min="4" max="4" width="11.44140625" bestFit="1" customWidth="1"/>
    <col min="5" max="5" width="11.21875" bestFit="1" customWidth="1"/>
    <col min="6" max="6" width="11.6640625" bestFit="1" customWidth="1"/>
    <col min="7" max="12" width="11.21875" bestFit="1" customWidth="1"/>
    <col min="13" max="16" width="9.88671875" bestFit="1" customWidth="1"/>
  </cols>
  <sheetData>
    <row r="1" spans="1:18" x14ac:dyDescent="0.3">
      <c r="A1" s="2"/>
    </row>
    <row r="2" spans="1:18" ht="18" x14ac:dyDescent="0.3">
      <c r="A2" s="3"/>
      <c r="B2" s="4" t="s">
        <v>11</v>
      </c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6"/>
      <c r="O2" s="6"/>
      <c r="P2" s="6"/>
      <c r="Q2" s="7" t="s">
        <v>12</v>
      </c>
      <c r="R2" s="7" t="s">
        <v>13</v>
      </c>
    </row>
    <row r="3" spans="1:18" ht="78" x14ac:dyDescent="0.3">
      <c r="A3" s="8"/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5</v>
      </c>
      <c r="I3" s="9" t="s">
        <v>20</v>
      </c>
      <c r="J3" s="9" t="s">
        <v>21</v>
      </c>
      <c r="K3" s="9" t="s">
        <v>22</v>
      </c>
      <c r="L3" s="9" t="s">
        <v>6</v>
      </c>
      <c r="M3" s="9" t="s">
        <v>23</v>
      </c>
      <c r="N3" s="10" t="s">
        <v>24</v>
      </c>
      <c r="O3" s="10" t="s">
        <v>7</v>
      </c>
      <c r="P3" s="10" t="s">
        <v>25</v>
      </c>
      <c r="Q3" s="11"/>
      <c r="R3" s="11"/>
    </row>
    <row r="4" spans="1:18" x14ac:dyDescent="0.3">
      <c r="A4" s="12">
        <v>46083</v>
      </c>
      <c r="B4" s="13">
        <v>0</v>
      </c>
      <c r="C4" s="14">
        <v>1710</v>
      </c>
      <c r="D4" s="14">
        <v>1200</v>
      </c>
      <c r="E4" s="13">
        <v>0</v>
      </c>
      <c r="F4" s="14">
        <v>1200</v>
      </c>
      <c r="G4" s="14">
        <v>1200</v>
      </c>
      <c r="H4" s="14">
        <v>1955</v>
      </c>
      <c r="I4" s="13">
        <v>0</v>
      </c>
      <c r="J4" s="14">
        <v>2040</v>
      </c>
      <c r="K4" s="13">
        <v>0</v>
      </c>
      <c r="L4" s="13">
        <v>0</v>
      </c>
      <c r="M4" s="14">
        <v>1200</v>
      </c>
      <c r="N4" s="15"/>
      <c r="O4" s="15"/>
      <c r="P4" s="15"/>
      <c r="Q4" s="16">
        <f>SUM(B4:M4)</f>
        <v>10505</v>
      </c>
      <c r="R4" s="17">
        <f>$C$42-Q4</f>
        <v>28140</v>
      </c>
    </row>
    <row r="5" spans="1:18" x14ac:dyDescent="0.3">
      <c r="A5" s="12">
        <v>46084</v>
      </c>
      <c r="B5" s="14">
        <v>2010</v>
      </c>
      <c r="C5" s="13">
        <v>0</v>
      </c>
      <c r="D5" s="14">
        <v>2010</v>
      </c>
      <c r="E5" s="14">
        <v>2010</v>
      </c>
      <c r="F5" s="13">
        <v>0</v>
      </c>
      <c r="G5" s="13">
        <v>0</v>
      </c>
      <c r="H5" s="14">
        <v>9010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5"/>
      <c r="O5" s="15"/>
      <c r="P5" s="15"/>
      <c r="Q5" s="16">
        <f>SUM(B5:M5)</f>
        <v>15040</v>
      </c>
      <c r="R5" s="17">
        <f>$C$42-Q5</f>
        <v>23605</v>
      </c>
    </row>
    <row r="6" spans="1:18" x14ac:dyDescent="0.3">
      <c r="A6" s="12">
        <v>46085</v>
      </c>
      <c r="B6" s="13">
        <v>0</v>
      </c>
      <c r="C6" s="14">
        <v>360</v>
      </c>
      <c r="D6" s="13">
        <v>0</v>
      </c>
      <c r="E6" s="14">
        <v>1710</v>
      </c>
      <c r="F6" s="14">
        <v>1200</v>
      </c>
      <c r="G6" s="13">
        <v>0</v>
      </c>
      <c r="H6" s="13">
        <v>0</v>
      </c>
      <c r="I6" s="13">
        <v>0</v>
      </c>
      <c r="J6" s="14">
        <v>7820</v>
      </c>
      <c r="K6" s="13">
        <v>0</v>
      </c>
      <c r="L6" s="13">
        <v>0</v>
      </c>
      <c r="M6" s="13">
        <v>0</v>
      </c>
      <c r="N6" s="14">
        <v>4020</v>
      </c>
      <c r="O6" s="15"/>
      <c r="P6" s="15"/>
      <c r="Q6" s="16">
        <f>SUM(B6:N6)</f>
        <v>15110</v>
      </c>
      <c r="R6" s="17">
        <f>$C$42-Q6</f>
        <v>23535</v>
      </c>
    </row>
    <row r="7" spans="1:18" x14ac:dyDescent="0.3">
      <c r="A7" s="12">
        <v>46086</v>
      </c>
      <c r="B7" s="14">
        <v>3020</v>
      </c>
      <c r="C7" s="14">
        <v>680</v>
      </c>
      <c r="D7" s="13">
        <v>0</v>
      </c>
      <c r="E7" s="13">
        <v>0</v>
      </c>
      <c r="F7" s="13">
        <v>0</v>
      </c>
      <c r="G7" s="13">
        <v>0</v>
      </c>
      <c r="H7" s="14">
        <v>2400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5"/>
      <c r="P7" s="15"/>
      <c r="Q7" s="16">
        <f>SUM(B7:M7)</f>
        <v>6100</v>
      </c>
      <c r="R7" s="17">
        <f>$C$42-Q7</f>
        <v>32545</v>
      </c>
    </row>
    <row r="8" spans="1:18" ht="15" thickBot="1" x14ac:dyDescent="0.35">
      <c r="A8" s="12">
        <v>46087</v>
      </c>
      <c r="B8" s="14">
        <v>1200</v>
      </c>
      <c r="C8" s="14">
        <v>1710</v>
      </c>
      <c r="D8" s="13">
        <v>0</v>
      </c>
      <c r="E8" s="14">
        <v>3020</v>
      </c>
      <c r="F8" s="13">
        <v>0</v>
      </c>
      <c r="G8" s="14">
        <v>1200</v>
      </c>
      <c r="H8" s="14">
        <v>3970</v>
      </c>
      <c r="I8" s="14">
        <v>5870</v>
      </c>
      <c r="J8" s="13">
        <v>0</v>
      </c>
      <c r="K8" s="14">
        <v>3020</v>
      </c>
      <c r="L8" s="14">
        <v>1200</v>
      </c>
      <c r="M8" s="13">
        <v>0</v>
      </c>
      <c r="N8" s="13">
        <v>0</v>
      </c>
      <c r="O8" s="15"/>
      <c r="P8" s="15"/>
      <c r="Q8" s="18">
        <f>SUM(B8:P8)</f>
        <v>21190</v>
      </c>
      <c r="R8" s="19">
        <f>$C$42-Q8</f>
        <v>17455</v>
      </c>
    </row>
    <row r="9" spans="1:18" ht="15" thickBot="1" x14ac:dyDescent="0.35">
      <c r="A9" s="20" t="s">
        <v>26</v>
      </c>
      <c r="B9" s="21">
        <f t="shared" ref="B9:P9" si="0">B4+B5+B6+B7+B8</f>
        <v>6230</v>
      </c>
      <c r="C9" s="21">
        <f t="shared" si="0"/>
        <v>4460</v>
      </c>
      <c r="D9" s="21">
        <f t="shared" si="0"/>
        <v>3210</v>
      </c>
      <c r="E9" s="21">
        <f t="shared" si="0"/>
        <v>6740</v>
      </c>
      <c r="F9" s="21">
        <f t="shared" si="0"/>
        <v>2400</v>
      </c>
      <c r="G9" s="21">
        <f t="shared" si="0"/>
        <v>2400</v>
      </c>
      <c r="H9" s="21">
        <f t="shared" si="0"/>
        <v>17335</v>
      </c>
      <c r="I9" s="21">
        <f t="shared" si="0"/>
        <v>5870</v>
      </c>
      <c r="J9" s="21">
        <f t="shared" si="0"/>
        <v>9860</v>
      </c>
      <c r="K9" s="21">
        <f t="shared" si="0"/>
        <v>3020</v>
      </c>
      <c r="L9" s="21">
        <f t="shared" si="0"/>
        <v>1200</v>
      </c>
      <c r="M9" s="21">
        <f t="shared" si="0"/>
        <v>1200</v>
      </c>
      <c r="N9" s="21">
        <f t="shared" si="0"/>
        <v>4020</v>
      </c>
      <c r="O9" s="21">
        <f t="shared" si="0"/>
        <v>0</v>
      </c>
      <c r="P9" s="21">
        <f t="shared" si="0"/>
        <v>0</v>
      </c>
      <c r="Q9" s="22"/>
      <c r="R9" s="23"/>
    </row>
    <row r="10" spans="1:18" x14ac:dyDescent="0.3">
      <c r="A10" s="12">
        <v>46090</v>
      </c>
      <c r="B10" s="13">
        <v>0</v>
      </c>
      <c r="C10" s="14">
        <v>3750</v>
      </c>
      <c r="D10" s="14">
        <v>3970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4">
        <v>3300</v>
      </c>
      <c r="K10" s="14">
        <v>1200</v>
      </c>
      <c r="L10" s="14">
        <v>1200</v>
      </c>
      <c r="M10" s="13">
        <v>0</v>
      </c>
      <c r="N10" s="13">
        <v>0</v>
      </c>
      <c r="O10" s="15"/>
      <c r="P10" s="15"/>
      <c r="Q10" s="24">
        <f>SUM(B10:P10)</f>
        <v>13420</v>
      </c>
      <c r="R10" s="25">
        <f>$C$42-Q10</f>
        <v>25225</v>
      </c>
    </row>
    <row r="11" spans="1:18" x14ac:dyDescent="0.3">
      <c r="A11" s="12">
        <v>46091</v>
      </c>
      <c r="B11" s="14">
        <v>1710</v>
      </c>
      <c r="C11" s="14">
        <v>3930</v>
      </c>
      <c r="D11" s="14">
        <v>595</v>
      </c>
      <c r="E11" s="13">
        <v>0</v>
      </c>
      <c r="F11" s="13">
        <v>0</v>
      </c>
      <c r="G11" s="14">
        <v>1750</v>
      </c>
      <c r="H11" s="14">
        <v>2460</v>
      </c>
      <c r="I11" s="13">
        <v>0</v>
      </c>
      <c r="J11" s="14">
        <v>4730</v>
      </c>
      <c r="K11" s="14">
        <v>2040</v>
      </c>
      <c r="L11" s="14">
        <v>1710</v>
      </c>
      <c r="M11" s="13">
        <v>0</v>
      </c>
      <c r="N11" s="13">
        <v>0</v>
      </c>
      <c r="O11" s="15"/>
      <c r="P11" s="15"/>
      <c r="Q11" s="24">
        <f>SUM(B11:P11)</f>
        <v>18925</v>
      </c>
      <c r="R11" s="17">
        <f>$C$42-Q11</f>
        <v>19720</v>
      </c>
    </row>
    <row r="12" spans="1:18" x14ac:dyDescent="0.3">
      <c r="A12" s="12">
        <v>46092</v>
      </c>
      <c r="B12" s="14">
        <v>2040</v>
      </c>
      <c r="C12" s="14">
        <v>2670</v>
      </c>
      <c r="D12" s="14">
        <v>1200</v>
      </c>
      <c r="E12" s="14">
        <v>2455</v>
      </c>
      <c r="F12" s="13">
        <v>0</v>
      </c>
      <c r="G12" s="13">
        <v>0</v>
      </c>
      <c r="H12" s="14">
        <v>1200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4">
        <v>1200</v>
      </c>
      <c r="O12" s="15"/>
      <c r="P12" s="15"/>
      <c r="Q12" s="24">
        <f t="shared" ref="Q12" si="1">SUM(B12:P12)</f>
        <v>10765</v>
      </c>
      <c r="R12" s="17">
        <f>$C$42-Q12</f>
        <v>27880</v>
      </c>
    </row>
    <row r="13" spans="1:18" x14ac:dyDescent="0.3">
      <c r="A13" s="12">
        <v>46093</v>
      </c>
      <c r="B13" s="14">
        <f>1710+3930</f>
        <v>5640</v>
      </c>
      <c r="C13" s="14">
        <v>960</v>
      </c>
      <c r="D13" s="14">
        <v>3300</v>
      </c>
      <c r="E13" s="14">
        <v>4080</v>
      </c>
      <c r="F13" s="13">
        <v>0</v>
      </c>
      <c r="G13" s="14">
        <v>1200</v>
      </c>
      <c r="H13" s="14">
        <v>3500</v>
      </c>
      <c r="I13" s="13">
        <v>0</v>
      </c>
      <c r="J13" s="14">
        <v>1200</v>
      </c>
      <c r="K13" s="13">
        <v>0</v>
      </c>
      <c r="L13" s="13">
        <v>0</v>
      </c>
      <c r="M13" s="13">
        <v>0</v>
      </c>
      <c r="N13" s="13">
        <v>0</v>
      </c>
      <c r="O13" s="15"/>
      <c r="P13" s="15"/>
      <c r="Q13" s="16">
        <f>SUM(B13:M13)</f>
        <v>19880</v>
      </c>
      <c r="R13" s="17">
        <f>$C$42-Q13</f>
        <v>18765</v>
      </c>
    </row>
    <row r="14" spans="1:18" x14ac:dyDescent="0.3">
      <c r="A14" s="12">
        <v>46094</v>
      </c>
      <c r="B14" s="26"/>
      <c r="C14" s="26"/>
      <c r="D14" s="26"/>
      <c r="E14" s="26"/>
      <c r="F14" s="26"/>
      <c r="G14" s="26"/>
      <c r="H14" s="26"/>
      <c r="I14" s="26"/>
      <c r="J14" s="26">
        <v>1460</v>
      </c>
      <c r="K14" s="26"/>
      <c r="L14" s="26"/>
      <c r="M14" s="26"/>
      <c r="N14" s="26"/>
      <c r="O14" s="26">
        <v>390</v>
      </c>
      <c r="P14" s="26"/>
      <c r="Q14" s="16">
        <f>SUM(B14:M14)</f>
        <v>1460</v>
      </c>
      <c r="R14" s="17">
        <f>$C$42-Q14</f>
        <v>37185</v>
      </c>
    </row>
    <row r="15" spans="1:18" ht="15" thickBot="1" x14ac:dyDescent="0.35">
      <c r="A15" s="12" t="s">
        <v>27</v>
      </c>
      <c r="B15" s="27">
        <f>16170</f>
        <v>16170</v>
      </c>
      <c r="C15" s="27">
        <f>12000</f>
        <v>12000</v>
      </c>
      <c r="D15" s="27">
        <f>15000</f>
        <v>15000</v>
      </c>
      <c r="E15" s="27">
        <f>12000</f>
        <v>12000</v>
      </c>
      <c r="F15" s="27">
        <f>9000</f>
        <v>9000</v>
      </c>
      <c r="G15" s="27">
        <f>10000</f>
        <v>10000</v>
      </c>
      <c r="H15" s="27">
        <f>10000</f>
        <v>10000</v>
      </c>
      <c r="I15" s="27">
        <f>8000</f>
        <v>8000</v>
      </c>
      <c r="J15" s="27">
        <f>8500</f>
        <v>8500</v>
      </c>
      <c r="K15" s="27">
        <f>6000</f>
        <v>6000</v>
      </c>
      <c r="L15" s="27">
        <f>7000</f>
        <v>7000</v>
      </c>
      <c r="M15" s="27">
        <f>8000</f>
        <v>8000</v>
      </c>
      <c r="N15" s="27">
        <f>8000</f>
        <v>8000</v>
      </c>
      <c r="O15" s="27">
        <v>2500</v>
      </c>
      <c r="P15" s="27">
        <v>2500</v>
      </c>
      <c r="Q15" s="28">
        <f>SUM(B15:P15)</f>
        <v>134670</v>
      </c>
      <c r="R15" s="19">
        <f>$C$42-S20</f>
        <v>38645</v>
      </c>
    </row>
    <row r="16" spans="1:18" ht="15" thickBot="1" x14ac:dyDescent="0.35">
      <c r="A16" s="20" t="s">
        <v>28</v>
      </c>
      <c r="B16" s="29">
        <f>B10+B11+B12+B13+B14</f>
        <v>9390</v>
      </c>
      <c r="C16" s="29">
        <f t="shared" ref="C16:P16" si="2">C10+C11+C12+C13+C14</f>
        <v>11310</v>
      </c>
      <c r="D16" s="29">
        <f t="shared" si="2"/>
        <v>9065</v>
      </c>
      <c r="E16" s="29">
        <f t="shared" si="2"/>
        <v>6535</v>
      </c>
      <c r="F16" s="29">
        <f t="shared" si="2"/>
        <v>0</v>
      </c>
      <c r="G16" s="29">
        <f t="shared" si="2"/>
        <v>2950</v>
      </c>
      <c r="H16" s="29">
        <f t="shared" si="2"/>
        <v>7160</v>
      </c>
      <c r="I16" s="29">
        <f t="shared" si="2"/>
        <v>0</v>
      </c>
      <c r="J16" s="29">
        <f t="shared" si="2"/>
        <v>10690</v>
      </c>
      <c r="K16" s="29">
        <f t="shared" si="2"/>
        <v>3240</v>
      </c>
      <c r="L16" s="29">
        <f t="shared" si="2"/>
        <v>2910</v>
      </c>
      <c r="M16" s="29">
        <f t="shared" si="2"/>
        <v>0</v>
      </c>
      <c r="N16" s="29">
        <f t="shared" si="2"/>
        <v>1200</v>
      </c>
      <c r="O16" s="29">
        <f t="shared" si="2"/>
        <v>390</v>
      </c>
      <c r="P16" s="29">
        <f t="shared" si="2"/>
        <v>0</v>
      </c>
      <c r="Q16" s="22"/>
      <c r="R16" s="23"/>
    </row>
    <row r="17" spans="1:18" x14ac:dyDescent="0.3">
      <c r="A17" s="12">
        <v>46097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4">
        <f>SUM(B17:M17)</f>
        <v>0</v>
      </c>
      <c r="R17" s="31">
        <f>$C$42-Q17</f>
        <v>38645</v>
      </c>
    </row>
    <row r="18" spans="1:18" x14ac:dyDescent="0.3">
      <c r="A18" s="12">
        <v>46098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16">
        <f>SUM(B18:M18)</f>
        <v>0</v>
      </c>
      <c r="R18" s="32">
        <f>$C$42-Q18</f>
        <v>38645</v>
      </c>
    </row>
    <row r="19" spans="1:18" x14ac:dyDescent="0.3">
      <c r="A19" s="12">
        <v>46099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16">
        <f>SUM(B19:M19)</f>
        <v>0</v>
      </c>
      <c r="R19" s="32">
        <f>$C$42-Q19</f>
        <v>38645</v>
      </c>
    </row>
    <row r="20" spans="1:18" x14ac:dyDescent="0.3">
      <c r="A20" s="12">
        <v>46100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6">
        <f>SUM(B20:M20)</f>
        <v>0</v>
      </c>
      <c r="R20" s="32">
        <f>$C$42-Q20</f>
        <v>38645</v>
      </c>
    </row>
    <row r="21" spans="1:18" x14ac:dyDescent="0.3">
      <c r="A21" s="12">
        <v>46101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6">
        <f>SUM(B21:M21)</f>
        <v>0</v>
      </c>
      <c r="R21" s="32">
        <f>$C$42-Q21</f>
        <v>38645</v>
      </c>
    </row>
    <row r="22" spans="1:18" ht="15" thickBot="1" x14ac:dyDescent="0.35">
      <c r="A22" s="12" t="s">
        <v>27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R22" s="35"/>
    </row>
    <row r="23" spans="1:18" ht="15" thickBot="1" x14ac:dyDescent="0.35">
      <c r="A23" s="20" t="s">
        <v>29</v>
      </c>
      <c r="B23" s="21">
        <f>B17+B18+B19+B20+B21</f>
        <v>0</v>
      </c>
      <c r="C23" s="21">
        <f>C17+C18+C19+C20+C21</f>
        <v>0</v>
      </c>
      <c r="D23" s="21">
        <f>D17+D18+D19+D20+D21</f>
        <v>0</v>
      </c>
      <c r="E23" s="21">
        <f>E17+E18+E19+E20+E21</f>
        <v>0</v>
      </c>
      <c r="F23" s="21">
        <f>V19+F18+F19+F20+F21</f>
        <v>0</v>
      </c>
      <c r="G23" s="21">
        <f t="shared" ref="G23:P23" si="3">G17+G18+G19+G20+G21</f>
        <v>0</v>
      </c>
      <c r="H23" s="21">
        <f t="shared" si="3"/>
        <v>0</v>
      </c>
      <c r="I23" s="21">
        <f t="shared" si="3"/>
        <v>0</v>
      </c>
      <c r="J23" s="21">
        <f t="shared" si="3"/>
        <v>0</v>
      </c>
      <c r="K23" s="21">
        <f t="shared" si="3"/>
        <v>0</v>
      </c>
      <c r="L23" s="21">
        <f t="shared" si="3"/>
        <v>0</v>
      </c>
      <c r="M23" s="21">
        <f t="shared" si="3"/>
        <v>0</v>
      </c>
      <c r="N23" s="21">
        <f t="shared" si="3"/>
        <v>0</v>
      </c>
      <c r="O23" s="21">
        <f t="shared" si="3"/>
        <v>0</v>
      </c>
      <c r="P23" s="21">
        <f t="shared" si="3"/>
        <v>0</v>
      </c>
      <c r="Q23" s="22"/>
      <c r="R23" s="23"/>
    </row>
    <row r="24" spans="1:18" x14ac:dyDescent="0.3">
      <c r="A24" s="12">
        <v>46104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24">
        <f>SUM(B24:M24)</f>
        <v>0</v>
      </c>
      <c r="R24" s="31">
        <f>$C$42-Q24</f>
        <v>38645</v>
      </c>
    </row>
    <row r="25" spans="1:18" x14ac:dyDescent="0.3">
      <c r="A25" s="12">
        <v>46105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16">
        <f>SUM(B25:M25)</f>
        <v>0</v>
      </c>
      <c r="R25" s="32">
        <f>$C$42-Q25</f>
        <v>38645</v>
      </c>
    </row>
    <row r="26" spans="1:18" x14ac:dyDescent="0.3">
      <c r="A26" s="12">
        <v>46106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16">
        <f>SUM(B26:M26)</f>
        <v>0</v>
      </c>
      <c r="R26" s="32">
        <f>$C$42-Q26</f>
        <v>38645</v>
      </c>
    </row>
    <row r="27" spans="1:18" x14ac:dyDescent="0.3">
      <c r="A27" s="12">
        <v>46107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16">
        <f>SUM(B27:M27)</f>
        <v>0</v>
      </c>
      <c r="R27" s="32">
        <f>$C$42-Q27</f>
        <v>38645</v>
      </c>
    </row>
    <row r="28" spans="1:18" x14ac:dyDescent="0.3">
      <c r="A28" s="12">
        <v>46108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18">
        <f>SUM(B28:M28)</f>
        <v>0</v>
      </c>
      <c r="R28" s="36">
        <f>$C$42-Q28</f>
        <v>38645</v>
      </c>
    </row>
    <row r="29" spans="1:18" ht="15" thickBot="1" x14ac:dyDescent="0.35">
      <c r="A29" s="12" t="s">
        <v>27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R29" s="35"/>
    </row>
    <row r="30" spans="1:18" ht="15" thickBot="1" x14ac:dyDescent="0.35">
      <c r="A30" s="20" t="s">
        <v>30</v>
      </c>
      <c r="B30" s="37">
        <f t="shared" ref="B30:P30" si="4">B24+B25+B26+B27+B28</f>
        <v>0</v>
      </c>
      <c r="C30" s="37">
        <f t="shared" si="4"/>
        <v>0</v>
      </c>
      <c r="D30" s="37">
        <f t="shared" si="4"/>
        <v>0</v>
      </c>
      <c r="E30" s="37">
        <f t="shared" si="4"/>
        <v>0</v>
      </c>
      <c r="F30" s="37">
        <f t="shared" si="4"/>
        <v>0</v>
      </c>
      <c r="G30" s="37">
        <f t="shared" si="4"/>
        <v>0</v>
      </c>
      <c r="H30" s="37">
        <f t="shared" si="4"/>
        <v>0</v>
      </c>
      <c r="I30" s="37">
        <f t="shared" si="4"/>
        <v>0</v>
      </c>
      <c r="J30" s="37">
        <f t="shared" si="4"/>
        <v>0</v>
      </c>
      <c r="K30" s="37">
        <f t="shared" si="4"/>
        <v>0</v>
      </c>
      <c r="L30" s="37">
        <f t="shared" si="4"/>
        <v>0</v>
      </c>
      <c r="M30" s="37">
        <f t="shared" si="4"/>
        <v>0</v>
      </c>
      <c r="N30" s="21">
        <f t="shared" si="4"/>
        <v>0</v>
      </c>
      <c r="O30" s="21">
        <f t="shared" si="4"/>
        <v>0</v>
      </c>
      <c r="P30" s="21">
        <f t="shared" si="4"/>
        <v>0</v>
      </c>
      <c r="Q30" s="38"/>
      <c r="R30" s="39"/>
    </row>
    <row r="31" spans="1:18" x14ac:dyDescent="0.3">
      <c r="A31" s="12">
        <v>46111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16">
        <f>SUM(B31:M31)</f>
        <v>0</v>
      </c>
      <c r="R31" s="32">
        <f>$C$42-Q31</f>
        <v>38645</v>
      </c>
    </row>
    <row r="32" spans="1:18" x14ac:dyDescent="0.3">
      <c r="A32" s="12">
        <v>46112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18">
        <f>SUM(B32:M32)</f>
        <v>0</v>
      </c>
      <c r="R32" s="36">
        <f>$C$42-Q32</f>
        <v>38645</v>
      </c>
    </row>
    <row r="33" spans="1:18" ht="15" thickBot="1" x14ac:dyDescent="0.35">
      <c r="A33" s="12" t="s">
        <v>27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/>
      <c r="R33" s="35"/>
    </row>
    <row r="34" spans="1:18" ht="15" thickBot="1" x14ac:dyDescent="0.35">
      <c r="A34" s="20" t="s">
        <v>31</v>
      </c>
      <c r="B34" s="37">
        <f>B31+B32</f>
        <v>0</v>
      </c>
      <c r="C34" s="37">
        <f t="shared" ref="C34:L34" si="5">C31+C32</f>
        <v>0</v>
      </c>
      <c r="D34" s="37">
        <f t="shared" si="5"/>
        <v>0</v>
      </c>
      <c r="E34" s="37">
        <f t="shared" si="5"/>
        <v>0</v>
      </c>
      <c r="F34" s="37">
        <f t="shared" si="5"/>
        <v>0</v>
      </c>
      <c r="G34" s="37">
        <f t="shared" si="5"/>
        <v>0</v>
      </c>
      <c r="H34" s="37">
        <f t="shared" si="5"/>
        <v>0</v>
      </c>
      <c r="I34" s="37">
        <f t="shared" si="5"/>
        <v>0</v>
      </c>
      <c r="J34" s="37">
        <f t="shared" si="5"/>
        <v>0</v>
      </c>
      <c r="K34" s="37">
        <f t="shared" si="5"/>
        <v>0</v>
      </c>
      <c r="L34" s="37">
        <f t="shared" si="5"/>
        <v>0</v>
      </c>
      <c r="M34" s="37">
        <f>M27+M28+M30+M31+M32</f>
        <v>0</v>
      </c>
      <c r="N34" s="21">
        <f t="shared" ref="N34:P34" si="6">N27+N28+N30+N31+N32</f>
        <v>0</v>
      </c>
      <c r="O34" s="21">
        <f t="shared" si="6"/>
        <v>0</v>
      </c>
      <c r="P34" s="21">
        <f t="shared" si="6"/>
        <v>0</v>
      </c>
      <c r="Q34" s="40"/>
      <c r="R34" s="41"/>
    </row>
    <row r="35" spans="1:18" ht="18" x14ac:dyDescent="0.35">
      <c r="A35" s="42" t="s">
        <v>32</v>
      </c>
      <c r="B35" s="43">
        <f>B9+B16+B23+B30+B34</f>
        <v>15620</v>
      </c>
      <c r="C35" s="43">
        <f t="shared" ref="C35:O35" si="7">C9+C16+C23+C30+C34</f>
        <v>15770</v>
      </c>
      <c r="D35" s="43">
        <f>D9+D16+D23+D30+D34-1200</f>
        <v>11075</v>
      </c>
      <c r="E35" s="43">
        <f t="shared" si="7"/>
        <v>13275</v>
      </c>
      <c r="F35" s="43">
        <f>F9+F16+F23+F30+F34-1200</f>
        <v>1200</v>
      </c>
      <c r="G35" s="43">
        <f>G9+G16+G23+G30+G34-1200</f>
        <v>4150</v>
      </c>
      <c r="H35" s="43">
        <f t="shared" si="7"/>
        <v>24495</v>
      </c>
      <c r="I35" s="43">
        <f t="shared" si="7"/>
        <v>5870</v>
      </c>
      <c r="J35" s="43">
        <f>J9+J16+J23+J30+J34-12940</f>
        <v>7610</v>
      </c>
      <c r="K35" s="43">
        <f t="shared" si="7"/>
        <v>6260</v>
      </c>
      <c r="L35" s="43">
        <f t="shared" si="7"/>
        <v>4110</v>
      </c>
      <c r="M35" s="43">
        <f t="shared" si="7"/>
        <v>1200</v>
      </c>
      <c r="N35" s="43">
        <f t="shared" si="7"/>
        <v>5220</v>
      </c>
      <c r="O35" s="43">
        <f t="shared" si="7"/>
        <v>390</v>
      </c>
      <c r="P35" s="43">
        <f>P9+P16+P23+P30+P34</f>
        <v>0</v>
      </c>
      <c r="Q35" s="44"/>
      <c r="R35" s="44"/>
    </row>
    <row r="36" spans="1:18" ht="36.6" thickBot="1" x14ac:dyDescent="0.4">
      <c r="A36" s="45" t="s">
        <v>33</v>
      </c>
      <c r="B36" s="46">
        <v>60000</v>
      </c>
      <c r="C36" s="46">
        <v>60000</v>
      </c>
      <c r="D36" s="46">
        <v>45000</v>
      </c>
      <c r="E36" s="46">
        <v>45000</v>
      </c>
      <c r="F36" s="46">
        <v>20000</v>
      </c>
      <c r="G36" s="46">
        <v>20000</v>
      </c>
      <c r="H36" s="46">
        <v>20000</v>
      </c>
      <c r="I36" s="46">
        <v>12500</v>
      </c>
      <c r="J36" s="46">
        <v>12500</v>
      </c>
      <c r="K36" s="46">
        <v>12500</v>
      </c>
      <c r="L36" s="46">
        <v>12500</v>
      </c>
      <c r="M36" s="46">
        <v>5000</v>
      </c>
      <c r="N36" s="46">
        <v>5000</v>
      </c>
      <c r="O36" s="46">
        <v>5000</v>
      </c>
      <c r="P36" s="46">
        <v>5000</v>
      </c>
      <c r="Q36" s="47"/>
      <c r="R36" s="47"/>
    </row>
    <row r="37" spans="1:18" ht="18.600000000000001" thickBot="1" x14ac:dyDescent="0.4">
      <c r="A37" s="48" t="s">
        <v>34</v>
      </c>
      <c r="B37" s="49">
        <f t="shared" ref="B37:P37" si="8">B36-B35</f>
        <v>44380</v>
      </c>
      <c r="C37" s="49">
        <f t="shared" si="8"/>
        <v>44230</v>
      </c>
      <c r="D37" s="49">
        <f t="shared" si="8"/>
        <v>33925</v>
      </c>
      <c r="E37" s="49">
        <f t="shared" si="8"/>
        <v>31725</v>
      </c>
      <c r="F37" s="50">
        <f t="shared" si="8"/>
        <v>18800</v>
      </c>
      <c r="G37" s="50">
        <f t="shared" si="8"/>
        <v>15850</v>
      </c>
      <c r="H37" s="50">
        <f t="shared" si="8"/>
        <v>-4495</v>
      </c>
      <c r="I37" s="50">
        <f t="shared" si="8"/>
        <v>6630</v>
      </c>
      <c r="J37" s="50">
        <f t="shared" si="8"/>
        <v>4890</v>
      </c>
      <c r="K37" s="50">
        <f t="shared" si="8"/>
        <v>6240</v>
      </c>
      <c r="L37" s="50">
        <f t="shared" si="8"/>
        <v>8390</v>
      </c>
      <c r="M37" s="50">
        <f t="shared" si="8"/>
        <v>3800</v>
      </c>
      <c r="N37" s="51">
        <f t="shared" si="8"/>
        <v>-220</v>
      </c>
      <c r="O37" s="50">
        <f t="shared" si="8"/>
        <v>4610</v>
      </c>
      <c r="P37" s="50">
        <f t="shared" si="8"/>
        <v>5000</v>
      </c>
      <c r="Q37" s="52"/>
      <c r="R37" s="52"/>
    </row>
    <row r="38" spans="1:18" ht="36" x14ac:dyDescent="0.35">
      <c r="A38" s="53" t="s">
        <v>35</v>
      </c>
      <c r="B38" s="54">
        <f>B9+B16+B23+B30+B34+3420</f>
        <v>19040</v>
      </c>
      <c r="C38" s="54">
        <f>C9+C16+C23+C24+C25+C26+8040</f>
        <v>23810</v>
      </c>
      <c r="D38" s="54">
        <f>D9+D16+D23+D24+D25+D26+1830</f>
        <v>14105</v>
      </c>
      <c r="E38" s="54">
        <f>E9+E16+E23+E24+E25+E26+1710</f>
        <v>14985</v>
      </c>
      <c r="F38" s="54">
        <f>F9+F16+F23+F24+F25+F26+1200</f>
        <v>3600</v>
      </c>
      <c r="G38" s="54">
        <f>G9+G16+G23+G24+G25+G26-1200</f>
        <v>4150</v>
      </c>
      <c r="H38" s="54">
        <f>H9+H16+H23+H24+H25+H26+1560</f>
        <v>26055</v>
      </c>
      <c r="I38" s="54">
        <f>I9+I16+I23+I24+I25+I26+0</f>
        <v>5870</v>
      </c>
      <c r="J38" s="54">
        <f>J9+J16+J23+J24+J25+J26+1830</f>
        <v>22380</v>
      </c>
      <c r="K38" s="54">
        <f>K9+K16+K23+K24+K25+K26+2460</f>
        <v>8720</v>
      </c>
      <c r="L38" s="54">
        <f>L9+L16+L23+L24+L25+L26+1560</f>
        <v>5670</v>
      </c>
      <c r="M38" s="54">
        <f t="shared" ref="M38:O38" si="9">M9+M16+M23+M24+M25+M26</f>
        <v>1200</v>
      </c>
      <c r="N38" s="54">
        <f t="shared" si="9"/>
        <v>5220</v>
      </c>
      <c r="O38" s="54">
        <f t="shared" si="9"/>
        <v>390</v>
      </c>
      <c r="P38" s="54">
        <f>P9+P16+P23+P24+P25+P26</f>
        <v>0</v>
      </c>
      <c r="Q38" s="52"/>
      <c r="R38" s="52"/>
    </row>
    <row r="39" spans="1:18" x14ac:dyDescent="0.3">
      <c r="A39" s="55"/>
      <c r="B39" s="56"/>
      <c r="C39" s="56"/>
      <c r="D39" s="57"/>
      <c r="E39" s="58"/>
      <c r="F39" s="58"/>
      <c r="G39" s="58"/>
      <c r="H39" s="58"/>
      <c r="I39" s="59"/>
      <c r="J39" s="56"/>
      <c r="K39" s="56"/>
      <c r="L39" s="56"/>
      <c r="M39" s="56"/>
      <c r="N39" s="60"/>
      <c r="O39" s="60"/>
      <c r="P39" s="60"/>
      <c r="Q39" s="61"/>
      <c r="R39" s="61"/>
    </row>
    <row r="40" spans="1:18" ht="29.4" thickBot="1" x14ac:dyDescent="0.35">
      <c r="A40" s="2"/>
      <c r="B40" s="62"/>
      <c r="C40" s="62"/>
      <c r="D40" s="63"/>
      <c r="E40" s="62"/>
      <c r="F40" s="62"/>
      <c r="G40" s="63"/>
      <c r="H40" s="62"/>
      <c r="I40" s="62"/>
      <c r="J40" s="63"/>
      <c r="K40" s="63"/>
      <c r="L40" s="63"/>
      <c r="M40" s="64" t="s">
        <v>36</v>
      </c>
      <c r="O40" s="64" t="s">
        <v>37</v>
      </c>
      <c r="P40" s="64" t="s">
        <v>38</v>
      </c>
    </row>
    <row r="41" spans="1:18" x14ac:dyDescent="0.3">
      <c r="A41" s="2"/>
      <c r="B41" s="65" t="s">
        <v>39</v>
      </c>
      <c r="C41" s="65"/>
      <c r="D41" s="66"/>
      <c r="E41" s="67" t="s">
        <v>40</v>
      </c>
      <c r="F41" s="67" t="s">
        <v>41</v>
      </c>
      <c r="G41" s="68" t="s">
        <v>42</v>
      </c>
      <c r="H41" s="69" t="s">
        <v>43</v>
      </c>
    </row>
    <row r="42" spans="1:18" x14ac:dyDescent="0.3">
      <c r="A42" s="2"/>
      <c r="B42" s="70" t="s">
        <v>44</v>
      </c>
      <c r="C42" s="71">
        <v>38645</v>
      </c>
      <c r="D42" s="66"/>
      <c r="E42" s="72" t="s">
        <v>45</v>
      </c>
      <c r="F42" s="73">
        <f>SUM(F35:P35)</f>
        <v>60505</v>
      </c>
      <c r="G42" s="74">
        <f>SUM(F36:P36)</f>
        <v>130000</v>
      </c>
      <c r="H42" s="75">
        <f>G42-F42</f>
        <v>69495</v>
      </c>
      <c r="I42" s="76"/>
      <c r="J42" s="76"/>
    </row>
    <row r="43" spans="1:18" ht="15" thickBot="1" x14ac:dyDescent="0.35">
      <c r="A43" s="2"/>
      <c r="B43" s="77" t="s">
        <v>46</v>
      </c>
      <c r="C43" s="78">
        <v>120005</v>
      </c>
      <c r="D43" s="66"/>
      <c r="E43" s="79" t="s">
        <v>47</v>
      </c>
      <c r="F43" s="80">
        <f>SUM(B35:E35)</f>
        <v>55740</v>
      </c>
      <c r="G43" s="81">
        <f>SUM(B36:E36)</f>
        <v>210000</v>
      </c>
      <c r="H43" s="82">
        <f>G43-F43</f>
        <v>154260</v>
      </c>
      <c r="I43" s="66"/>
    </row>
    <row r="44" spans="1:18" ht="15" thickBot="1" x14ac:dyDescent="0.35">
      <c r="A44" s="2"/>
      <c r="B44" s="83" t="s">
        <v>48</v>
      </c>
      <c r="C44" s="84">
        <v>407010</v>
      </c>
      <c r="G44" s="85">
        <f>G42+G43</f>
        <v>340000</v>
      </c>
      <c r="H44" s="86">
        <f>H42+H43</f>
        <v>223755</v>
      </c>
    </row>
    <row r="45" spans="1:18" ht="43.2" x14ac:dyDescent="0.3">
      <c r="A45" s="2"/>
      <c r="E45" s="87" t="s">
        <v>49</v>
      </c>
    </row>
    <row r="46" spans="1:18" ht="58.2" thickBot="1" x14ac:dyDescent="0.35">
      <c r="A46" s="88"/>
      <c r="B46" s="89" t="s">
        <v>50</v>
      </c>
      <c r="C46" s="89" t="s">
        <v>51</v>
      </c>
      <c r="E46" s="90">
        <v>290000</v>
      </c>
      <c r="Q46" s="91" t="s">
        <v>52</v>
      </c>
      <c r="R46" s="91" t="s">
        <v>53</v>
      </c>
    </row>
    <row r="47" spans="1:18" ht="57.6" x14ac:dyDescent="0.3">
      <c r="A47" s="92" t="s">
        <v>26</v>
      </c>
      <c r="B47" s="93">
        <f>SUM(B9:M9)</f>
        <v>63925</v>
      </c>
      <c r="C47" s="31">
        <f>$C$43-B47</f>
        <v>56080</v>
      </c>
      <c r="E47" s="94" t="s">
        <v>54</v>
      </c>
      <c r="F47" s="87" t="s">
        <v>55</v>
      </c>
      <c r="G47" s="91" t="s">
        <v>56</v>
      </c>
      <c r="J47" s="95"/>
      <c r="Q47" s="96">
        <v>230000</v>
      </c>
      <c r="R47" s="96">
        <v>60000</v>
      </c>
    </row>
    <row r="48" spans="1:18" x14ac:dyDescent="0.3">
      <c r="A48" s="97" t="s">
        <v>28</v>
      </c>
      <c r="B48" s="96">
        <f>SUM(B16:M16)</f>
        <v>63250</v>
      </c>
      <c r="C48" s="32">
        <f>$C$43-B48</f>
        <v>56755</v>
      </c>
      <c r="D48" s="66"/>
      <c r="E48" s="98">
        <f>SUM(B35:P35)</f>
        <v>116245</v>
      </c>
      <c r="F48" s="99">
        <f>E46-E48</f>
        <v>173755</v>
      </c>
      <c r="G48" s="100">
        <f>C44-E48</f>
        <v>290765</v>
      </c>
      <c r="J48" s="95"/>
      <c r="Q48" s="96">
        <f>B35+C35+D35+E35</f>
        <v>55740</v>
      </c>
      <c r="R48" s="96">
        <f>F35+G35+H35+I35+J35</f>
        <v>43325</v>
      </c>
    </row>
    <row r="49" spans="1:18" ht="15" thickBot="1" x14ac:dyDescent="0.35">
      <c r="A49" s="97" t="s">
        <v>29</v>
      </c>
      <c r="B49" s="96">
        <f>SUM(B23:M23)</f>
        <v>0</v>
      </c>
      <c r="C49" s="32">
        <f>$C$43-B49</f>
        <v>120005</v>
      </c>
      <c r="E49" s="101" t="s">
        <v>57</v>
      </c>
      <c r="F49" s="102">
        <f ca="1">F48/H50</f>
        <v>13365.76923076923</v>
      </c>
      <c r="J49" s="95"/>
      <c r="Q49" s="103">
        <f>Q48/Q47</f>
        <v>0.24234782608695651</v>
      </c>
      <c r="R49" s="103">
        <f>R48/R47</f>
        <v>0.7220833333333333</v>
      </c>
    </row>
    <row r="50" spans="1:18" x14ac:dyDescent="0.3">
      <c r="A50" s="97" t="s">
        <v>30</v>
      </c>
      <c r="B50" s="96">
        <f>SUM(B34:P34)</f>
        <v>0</v>
      </c>
      <c r="C50" s="32">
        <f>$C$43-B50</f>
        <v>120005</v>
      </c>
      <c r="G50" s="95" t="s">
        <v>58</v>
      </c>
      <c r="H50" s="104">
        <f ca="1">ABS(NETWORKDAYS(DATE(2026,3,31),TODAY()))</f>
        <v>13</v>
      </c>
      <c r="J50" s="95"/>
      <c r="Q50" s="105">
        <f>Q47-Q48</f>
        <v>174260</v>
      </c>
      <c r="R50" s="105">
        <f>R47-R48</f>
        <v>16675</v>
      </c>
    </row>
    <row r="51" spans="1:18" ht="28.8" x14ac:dyDescent="0.3">
      <c r="A51" s="97" t="s">
        <v>31</v>
      </c>
      <c r="B51" s="96">
        <f>SUM(B31:M31)</f>
        <v>0</v>
      </c>
      <c r="C51" s="32">
        <f>$C$43-B51</f>
        <v>120005</v>
      </c>
      <c r="D51" s="106"/>
      <c r="E51" s="61"/>
      <c r="F51" s="91" t="s">
        <v>59</v>
      </c>
    </row>
    <row r="52" spans="1:18" ht="43.2" x14ac:dyDescent="0.3">
      <c r="A52" s="2"/>
      <c r="D52" s="107" t="s">
        <v>60</v>
      </c>
      <c r="E52" s="78">
        <v>320000</v>
      </c>
      <c r="F52" s="105">
        <f>E52-E48</f>
        <v>203755</v>
      </c>
    </row>
    <row r="53" spans="1:18" x14ac:dyDescent="0.3">
      <c r="A53" s="2"/>
      <c r="D53" s="108" t="s">
        <v>61</v>
      </c>
      <c r="E53" s="78">
        <v>380000</v>
      </c>
      <c r="F53" s="105">
        <f>E53-E48</f>
        <v>263755</v>
      </c>
    </row>
    <row r="54" spans="1:18" x14ac:dyDescent="0.3">
      <c r="A54" s="2"/>
      <c r="D54" s="109" t="s">
        <v>62</v>
      </c>
      <c r="E54" s="110">
        <v>400000</v>
      </c>
      <c r="F54" s="111">
        <f>E54-E48</f>
        <v>283755</v>
      </c>
    </row>
    <row r="55" spans="1:18" ht="57.6" x14ac:dyDescent="0.3">
      <c r="A55" s="2"/>
      <c r="D55" s="107" t="s">
        <v>63</v>
      </c>
      <c r="E55" s="112">
        <f>C44</f>
        <v>407010</v>
      </c>
      <c r="F55" s="113">
        <f>E55-E48</f>
        <v>290765</v>
      </c>
    </row>
    <row r="56" spans="1:18" x14ac:dyDescent="0.3">
      <c r="A56" s="2"/>
    </row>
  </sheetData>
  <mergeCells count="4">
    <mergeCell ref="B2:K2"/>
    <mergeCell ref="Q2:Q3"/>
    <mergeCell ref="R2:R3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Bryant</cp:lastModifiedBy>
  <dcterms:created xsi:type="dcterms:W3CDTF">2026-03-13T09:31:43Z</dcterms:created>
  <dcterms:modified xsi:type="dcterms:W3CDTF">2026-03-13T12:42:47Z</dcterms:modified>
</cp:coreProperties>
</file>